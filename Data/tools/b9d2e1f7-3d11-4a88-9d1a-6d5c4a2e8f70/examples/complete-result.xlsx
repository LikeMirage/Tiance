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汇总" sheetId="1" state="visible" r:id="rId1"/>
    <sheet xmlns:r="http://schemas.openxmlformats.org/officeDocument/2006/relationships" name="评分矩阵" sheetId="2" state="visible" r:id="rId2"/>
  </sheets>
  <definedNames>
    <definedName name="_xlnm._FilterDatabase" localSheetId="1" hidden="1">'评分矩阵'!$A$1:$F$6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theme="1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  <xf numFmtId="1" fontId="2" fillId="3" borderId="0" applyAlignment="1" pivotButton="0" quotePrefix="0" xfId="0">
      <alignment horizontal="center"/>
    </xf>
    <xf numFmtId="10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1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" fontId="2" fillId="4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3" fillId="5" borderId="0" applyAlignment="1" pivotButton="0" quotePrefix="0" xfId="0">
      <alignment horizontal="center"/>
    </xf>
    <xf numFmtId="2" fontId="0" fillId="6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" displayName="Table_" ref="A1:F6" headerRowCount="1">
  <autoFilter ref="A1:F6"/>
  <tableColumns count="6">
    <tableColumn id="1" name="部门"/>
    <tableColumn id="2" name="一季度"/>
    <tableColumn id="3" name="二季度"/>
    <tableColumn id="4" name="三季度"/>
    <tableColumn id="5" name="四季度"/>
    <tableColumn id="6" name="年度得分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24" customWidth="1" min="8" max="8"/>
  </cols>
  <sheetData>
    <row r="1">
      <c r="A1" s="1" t="inlineStr">
        <is>
          <t>项目汇总报告</t>
        </is>
      </c>
    </row>
    <row r="2">
      <c r="A2" s="2" t="inlineStr">
        <is>
          <t>项目</t>
        </is>
      </c>
      <c r="B2" s="3" t="inlineStr">
        <is>
          <t>负责人</t>
        </is>
      </c>
      <c r="C2" s="3" t="inlineStr">
        <is>
          <t>状态</t>
        </is>
      </c>
      <c r="D2" s="4" t="inlineStr">
        <is>
          <t>数量</t>
        </is>
      </c>
      <c r="E2" s="5" t="inlineStr">
        <is>
          <t>完成率</t>
        </is>
      </c>
      <c r="F2" s="6" t="inlineStr">
        <is>
          <t>预算</t>
        </is>
      </c>
      <c r="G2" s="3" t="inlineStr">
        <is>
          <t>开始日期</t>
        </is>
      </c>
      <c r="H2" s="3" t="inlineStr">
        <is>
          <t>备注</t>
        </is>
      </c>
    </row>
    <row r="3" ht="24" customHeight="1">
      <c r="A3" t="inlineStr">
        <is>
          <t>文档转换</t>
        </is>
      </c>
      <c r="B3" t="inlineStr">
        <is>
          <t>林林</t>
        </is>
      </c>
      <c r="C3" s="7" t="inlineStr">
        <is>
          <t>已完成</t>
        </is>
      </c>
      <c r="D3" s="8" t="n">
        <v>12</v>
      </c>
      <c r="E3" s="9" t="n">
        <v>0.92</v>
      </c>
      <c r="F3" s="10" t="n">
        <v>12500</v>
      </c>
      <c r="G3" s="11" t="n">
        <v>46204</v>
      </c>
      <c r="H3" s="12" t="inlineStr">
        <is>
          <t>支持 Word 与 Excel</t>
        </is>
      </c>
    </row>
    <row r="4">
      <c r="A4" t="inlineStr">
        <is>
          <t>引用增强</t>
        </is>
      </c>
      <c r="B4" t="inlineStr">
        <is>
          <t>王宁</t>
        </is>
      </c>
      <c r="C4" t="inlineStr">
        <is>
          <t>进行中</t>
        </is>
      </c>
      <c r="D4" t="n">
        <v>8</v>
      </c>
      <c r="E4" t="n">
        <v>0.68</v>
      </c>
      <c r="F4" t="n">
        <v>8600</v>
      </c>
      <c r="G4" s="11" t="n">
        <v>46211</v>
      </c>
      <c r="H4" t="inlineStr">
        <is>
          <t>需要补充图片历史</t>
        </is>
      </c>
    </row>
    <row r="5">
      <c r="A5" t="inlineStr">
        <is>
          <t>工具注册</t>
        </is>
      </c>
      <c r="B5" t="inlineStr">
        <is>
          <t>赵琪</t>
        </is>
      </c>
      <c r="C5" t="inlineStr">
        <is>
          <t>未开始</t>
        </is>
      </c>
      <c r="D5" t="n">
        <v>3</v>
      </c>
      <c r="E5" t="n">
        <v>0.15</v>
      </c>
      <c r="F5" t="n">
        <v>4200</v>
      </c>
      <c r="G5" s="11" t="n">
        <v>46218</v>
      </c>
      <c r="H5">
        <f>D5*100</f>
        <v/>
      </c>
    </row>
    <row r="6">
      <c r="A6" t="inlineStr">
        <is>
          <t>回归测试</t>
        </is>
      </c>
      <c r="B6" t="inlineStr">
        <is>
          <t>林林</t>
        </is>
      </c>
      <c r="C6" t="inlineStr">
        <is>
          <t>进行中</t>
        </is>
      </c>
      <c r="D6" t="n">
        <v>20</v>
      </c>
      <c r="E6" t="n">
        <v>0.75</v>
      </c>
      <c r="F6" t="n">
        <v>9300</v>
      </c>
      <c r="G6" s="11" t="n">
        <v>46223</v>
      </c>
      <c r="H6" t="inlineStr">
        <is>
          <t>多行备注
第二行</t>
        </is>
      </c>
    </row>
    <row r="7">
      <c r="A7" s="13" t="inlineStr">
        <is>
          <t>合计</t>
        </is>
      </c>
      <c r="D7" s="8">
        <f>SUM(D3:D6)</f>
        <v/>
      </c>
      <c r="E7" s="14">
        <f>AVERAGE(E3:E6)</f>
        <v/>
      </c>
      <c r="F7" s="15">
        <f>SUM(F3:F6)</f>
        <v/>
      </c>
    </row>
  </sheetData>
  <mergeCells count="1">
    <mergeCell ref="A1:H1"/>
  </mergeCells>
  <conditionalFormatting sqref="E4:E7">
    <cfRule type="dataBar" priority="1">
      <dataBar>
        <cfvo type="min"/>
        <cfvo type="max"/>
        <color rgb="0063C384"/>
      </dataBar>
    </cfRule>
  </conditionalFormatting>
  <dataValidations count="1">
    <dataValidation sqref="C4:C7" showDropDown="0" showInputMessage="0" showErrorMessage="1" allowBlank="1" errorTitle="输入无效" error="请选择列表中的值" type="list">
      <formula1>"未开始,进行中,已完成"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6" customHeight="1">
      <c r="A1" s="16" t="inlineStr">
        <is>
          <t>部门</t>
        </is>
      </c>
      <c r="B1" s="16" t="inlineStr">
        <is>
          <t>一季度</t>
        </is>
      </c>
      <c r="C1" s="16" t="inlineStr">
        <is>
          <t>二季度</t>
        </is>
      </c>
      <c r="D1" s="16" t="inlineStr">
        <is>
          <t>三季度</t>
        </is>
      </c>
      <c r="E1" s="16" t="inlineStr">
        <is>
          <t>四季度</t>
        </is>
      </c>
      <c r="F1" s="16" t="inlineStr">
        <is>
          <t>年度得分</t>
        </is>
      </c>
    </row>
    <row r="2" ht="15" customHeight="1">
      <c r="A2" t="inlineStr">
        <is>
          <t>研发</t>
        </is>
      </c>
      <c r="B2" s="8" t="n">
        <v>86</v>
      </c>
      <c r="C2" s="8" t="n">
        <v>91</v>
      </c>
      <c r="D2" s="8" t="n">
        <v>88</v>
      </c>
      <c r="E2" s="8" t="n">
        <v>94</v>
      </c>
      <c r="F2" s="17">
        <f>AVERAGE(B2:E2)</f>
        <v/>
      </c>
    </row>
    <row r="3">
      <c r="A3" t="inlineStr">
        <is>
          <t>产品</t>
        </is>
      </c>
      <c r="B3" t="n">
        <v>82</v>
      </c>
      <c r="C3" t="n">
        <v>87</v>
      </c>
      <c r="D3" t="n">
        <v>90</v>
      </c>
      <c r="E3" t="n">
        <v>89</v>
      </c>
      <c r="F3">
        <f>AVERAGE(B3:E3)</f>
        <v/>
      </c>
    </row>
    <row r="4">
      <c r="A4" t="inlineStr">
        <is>
          <t>运营</t>
        </is>
      </c>
      <c r="B4" t="n">
        <v>78</v>
      </c>
      <c r="C4" t="n">
        <v>84</v>
      </c>
      <c r="D4" t="n">
        <v>86</v>
      </c>
      <c r="E4" t="n">
        <v>88</v>
      </c>
      <c r="F4">
        <f>AVERAGE(B4:E4)</f>
        <v/>
      </c>
    </row>
    <row r="5">
      <c r="A5" t="inlineStr">
        <is>
          <t>设计</t>
        </is>
      </c>
      <c r="B5" t="n">
        <v>90</v>
      </c>
      <c r="C5" t="n">
        <v>92</v>
      </c>
      <c r="D5" t="n">
        <v>93</v>
      </c>
      <c r="E5" t="n">
        <v>95</v>
      </c>
      <c r="F5">
        <f>AVERAGE(B5:E5)</f>
        <v/>
      </c>
    </row>
    <row r="6">
      <c r="A6" s="18" t="inlineStr">
        <is>
          <t>平均</t>
        </is>
      </c>
      <c r="B6">
        <f>AVERAGE(B2:B5)</f>
        <v/>
      </c>
      <c r="C6">
        <f>AVERAGE(C2:C5)</f>
        <v/>
      </c>
      <c r="D6">
        <f>AVERAGE(D2:D5)</f>
        <v/>
      </c>
      <c r="E6">
        <f>AVERAGE(E2:E5)</f>
        <v/>
      </c>
      <c r="F6" s="18">
        <f>AVERAGE(F2:F5)</f>
        <v/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2026-08-05T03:26:05Z</dcterms:created>
  <dcterms:modified xmlns:dcterms="http://purl.org/dc/terms/" xmlns:xsi="http://www.w3.org/2001/XMLSchema-instance" xsi:type="dcterms:W3CDTF">2026-08-05T03:26:05Z</dcterms:modified>
</cp:coreProperties>
</file>